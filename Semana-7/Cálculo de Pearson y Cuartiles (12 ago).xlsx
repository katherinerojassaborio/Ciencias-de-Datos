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he\Documents\CienciaDeDatos\MÓDULO 3\Semana 7\"/>
    </mc:Choice>
  </mc:AlternateContent>
  <xr:revisionPtr revIDLastSave="0" documentId="13_ncr:1_{5F943812-D6F9-42F1-B37B-7C9583916BE5}" xr6:coauthVersionLast="47" xr6:coauthVersionMax="47" xr10:uidLastSave="{00000000-0000-0000-0000-000000000000}"/>
  <bookViews>
    <workbookView xWindow="-120" yWindow="-120" windowWidth="29040" windowHeight="15720" activeTab="1" xr2:uid="{B18796F5-0CEB-4FB2-9096-5AE524BDD294}"/>
  </bookViews>
  <sheets>
    <sheet name="Correlación Pearson" sheetId="1" r:id="rId1"/>
    <sheet name="RIC, limi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1" i="2" l="1"/>
  <c r="C25" i="2"/>
  <c r="C23" i="2"/>
  <c r="C28" i="2" s="1"/>
  <c r="C42" i="1"/>
  <c r="C43" i="1" s="1"/>
  <c r="C41" i="1"/>
  <c r="C24" i="2"/>
  <c r="B21" i="2"/>
  <c r="B20" i="2"/>
  <c r="B15" i="2"/>
  <c r="B14" i="2"/>
  <c r="B13" i="2"/>
  <c r="D23" i="1"/>
  <c r="D17" i="1"/>
  <c r="D18" i="1"/>
  <c r="D19" i="1"/>
  <c r="D20" i="1"/>
  <c r="D21" i="1"/>
  <c r="D22" i="1"/>
  <c r="D16" i="1"/>
  <c r="C37" i="1"/>
  <c r="B37" i="1"/>
  <c r="C30" i="1"/>
  <c r="C31" i="1"/>
  <c r="C32" i="1"/>
  <c r="C33" i="1"/>
  <c r="C34" i="1"/>
  <c r="C35" i="1"/>
  <c r="C36" i="1"/>
  <c r="B31" i="1"/>
  <c r="B32" i="1"/>
  <c r="B33" i="1"/>
  <c r="B34" i="1"/>
  <c r="B35" i="1"/>
  <c r="B36" i="1"/>
  <c r="B30" i="1"/>
  <c r="C23" i="1"/>
  <c r="B23" i="1"/>
  <c r="B9" i="1"/>
</calcChain>
</file>

<file path=xl/sharedStrings.xml><?xml version="1.0" encoding="utf-8"?>
<sst xmlns="http://schemas.openxmlformats.org/spreadsheetml/2006/main" count="60" uniqueCount="43">
  <si>
    <t>A</t>
  </si>
  <si>
    <t>B</t>
  </si>
  <si>
    <t>C</t>
  </si>
  <si>
    <t>D</t>
  </si>
  <si>
    <t>E</t>
  </si>
  <si>
    <t>F</t>
  </si>
  <si>
    <t>G</t>
  </si>
  <si>
    <t>Correlación</t>
  </si>
  <si>
    <t xml:space="preserve">También se puede hacer manual </t>
  </si>
  <si>
    <t>x</t>
  </si>
  <si>
    <t>y</t>
  </si>
  <si>
    <t>Suma</t>
  </si>
  <si>
    <t>Se saca el cuadrado</t>
  </si>
  <si>
    <t>x^2</t>
  </si>
  <si>
    <t>y^2</t>
  </si>
  <si>
    <t>S</t>
  </si>
  <si>
    <t>x*y</t>
  </si>
  <si>
    <t>n</t>
  </si>
  <si>
    <t>Es una correlación positiva fuerte</t>
  </si>
  <si>
    <t>Datos</t>
  </si>
  <si>
    <t>Q1</t>
  </si>
  <si>
    <t>45+47+48+50+52</t>
  </si>
  <si>
    <t>Q1 es 48 porque es lo que está en la mitad de esos</t>
  </si>
  <si>
    <t>Q3</t>
  </si>
  <si>
    <t>53,55,58,60,220</t>
  </si>
  <si>
    <t xml:space="preserve">Q3 es 58 </t>
  </si>
  <si>
    <t>Posición de Q a k</t>
  </si>
  <si>
    <t>k(n+1)/4</t>
  </si>
  <si>
    <t>k = 1 para Q1</t>
  </si>
  <si>
    <t>k = 3 para Q3</t>
  </si>
  <si>
    <t>Límite inferior</t>
  </si>
  <si>
    <t>Q1-(1,5*RIC)</t>
  </si>
  <si>
    <t>Limite superior</t>
  </si>
  <si>
    <t>Q3+(1,5*RIC)</t>
  </si>
  <si>
    <t>r</t>
  </si>
  <si>
    <t>num</t>
  </si>
  <si>
    <t>den</t>
  </si>
  <si>
    <t>num/den</t>
  </si>
  <si>
    <t>Mediana (Q2)</t>
  </si>
  <si>
    <t>RIC</t>
  </si>
  <si>
    <t>47 + 0,75*(48 - 47)</t>
  </si>
  <si>
    <t>58 + 0,25*(60 - 58)</t>
  </si>
  <si>
    <t>Q3-Q1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</si>
</sst>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86" formatCode="0.000000000000000000000E+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1" fillId="0" borderId="0" xfId="0" applyFont="1"/>
    <xf numFmtId="186" fontId="0" fillId="0" borderId="0" xfId="0" applyNumberFormat="1"/>
    <xf numFmtId="164" fontId="1" fillId="0" borderId="0" xfId="0" applyNumberFormat="1" applyFont="1" applyAlignment="1">
      <alignment horizontal="left" indent="4"/>
    </xf>
    <xf numFmtId="1" fontId="0" fillId="0" borderId="1" xfId="0" applyNumberFormat="1" applyBorder="1"/>
    <xf numFmtId="165" fontId="0" fillId="0" borderId="1" xfId="0" applyNumberFormat="1" applyBorder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2" fontId="0" fillId="0" borderId="0" xfId="0" applyNumberFormat="1" applyAlignment="1">
      <alignment horizontal="left" indent="6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5237D-7C25-4830-9F81-B3CE20BE9054}">
  <dimension ref="A1:D43"/>
  <sheetViews>
    <sheetView workbookViewId="0">
      <selection activeCell="H42" sqref="H42"/>
    </sheetView>
  </sheetViews>
  <sheetFormatPr baseColWidth="10" defaultRowHeight="15" x14ac:dyDescent="0.25"/>
  <cols>
    <col min="2" max="2" width="29.7109375" bestFit="1" customWidth="1"/>
    <col min="3" max="3" width="17.28515625" bestFit="1" customWidth="1"/>
  </cols>
  <sheetData>
    <row r="1" spans="1:4" x14ac:dyDescent="0.25">
      <c r="A1" s="2" t="s">
        <v>0</v>
      </c>
      <c r="B1" s="2">
        <v>2</v>
      </c>
      <c r="C1" s="2">
        <v>45</v>
      </c>
    </row>
    <row r="2" spans="1:4" x14ac:dyDescent="0.25">
      <c r="A2" s="2" t="s">
        <v>1</v>
      </c>
      <c r="B2" s="2">
        <v>4</v>
      </c>
      <c r="C2" s="2">
        <v>68</v>
      </c>
    </row>
    <row r="3" spans="1:4" x14ac:dyDescent="0.25">
      <c r="A3" s="2" t="s">
        <v>2</v>
      </c>
      <c r="B3" s="2">
        <v>1</v>
      </c>
      <c r="C3" s="2">
        <v>30</v>
      </c>
    </row>
    <row r="4" spans="1:4" x14ac:dyDescent="0.25">
      <c r="A4" s="2" t="s">
        <v>3</v>
      </c>
      <c r="B4" s="2">
        <v>6</v>
      </c>
      <c r="C4" s="2">
        <v>95</v>
      </c>
    </row>
    <row r="5" spans="1:4" x14ac:dyDescent="0.25">
      <c r="A5" s="2" t="s">
        <v>4</v>
      </c>
      <c r="B5" s="2">
        <v>3</v>
      </c>
      <c r="C5" s="2">
        <v>52</v>
      </c>
    </row>
    <row r="6" spans="1:4" x14ac:dyDescent="0.25">
      <c r="A6" s="2" t="s">
        <v>5</v>
      </c>
      <c r="B6" s="2">
        <v>5</v>
      </c>
      <c r="C6" s="2">
        <v>80</v>
      </c>
    </row>
    <row r="7" spans="1:4" x14ac:dyDescent="0.25">
      <c r="A7" s="2" t="s">
        <v>6</v>
      </c>
      <c r="B7" s="2">
        <v>2</v>
      </c>
      <c r="C7" s="2">
        <v>40</v>
      </c>
    </row>
    <row r="9" spans="1:4" x14ac:dyDescent="0.25">
      <c r="A9" t="s">
        <v>7</v>
      </c>
      <c r="B9" s="1">
        <f>CORREL(B1:B7,C1:C7)</f>
        <v>0.99620787650939413</v>
      </c>
    </row>
    <row r="12" spans="1:4" x14ac:dyDescent="0.25">
      <c r="A12" t="s">
        <v>17</v>
      </c>
      <c r="B12">
        <v>7</v>
      </c>
    </row>
    <row r="13" spans="1:4" x14ac:dyDescent="0.25">
      <c r="A13" s="6" t="s">
        <v>8</v>
      </c>
    </row>
    <row r="15" spans="1:4" x14ac:dyDescent="0.25">
      <c r="A15" s="3"/>
      <c r="B15" s="3" t="s">
        <v>9</v>
      </c>
      <c r="C15" s="3" t="s">
        <v>10</v>
      </c>
      <c r="D15" s="3" t="s">
        <v>16</v>
      </c>
    </row>
    <row r="16" spans="1:4" x14ac:dyDescent="0.25">
      <c r="A16" s="2" t="s">
        <v>0</v>
      </c>
      <c r="B16" s="5">
        <v>2</v>
      </c>
      <c r="C16" s="5">
        <v>45</v>
      </c>
      <c r="D16" s="2">
        <f>B16*C16</f>
        <v>90</v>
      </c>
    </row>
    <row r="17" spans="1:4" x14ac:dyDescent="0.25">
      <c r="A17" s="2" t="s">
        <v>1</v>
      </c>
      <c r="B17" s="5">
        <v>4</v>
      </c>
      <c r="C17" s="5">
        <v>68</v>
      </c>
      <c r="D17" s="2">
        <f t="shared" ref="D17:D22" si="0">B17*C17</f>
        <v>272</v>
      </c>
    </row>
    <row r="18" spans="1:4" x14ac:dyDescent="0.25">
      <c r="A18" s="2" t="s">
        <v>2</v>
      </c>
      <c r="B18" s="5">
        <v>1</v>
      </c>
      <c r="C18" s="5">
        <v>30</v>
      </c>
      <c r="D18" s="2">
        <f t="shared" si="0"/>
        <v>30</v>
      </c>
    </row>
    <row r="19" spans="1:4" x14ac:dyDescent="0.25">
      <c r="A19" s="2" t="s">
        <v>3</v>
      </c>
      <c r="B19" s="5">
        <v>6</v>
      </c>
      <c r="C19" s="5">
        <v>95</v>
      </c>
      <c r="D19" s="2">
        <f t="shared" si="0"/>
        <v>570</v>
      </c>
    </row>
    <row r="20" spans="1:4" x14ac:dyDescent="0.25">
      <c r="A20" s="2" t="s">
        <v>4</v>
      </c>
      <c r="B20" s="5">
        <v>3</v>
      </c>
      <c r="C20" s="5">
        <v>52</v>
      </c>
      <c r="D20" s="2">
        <f t="shared" si="0"/>
        <v>156</v>
      </c>
    </row>
    <row r="21" spans="1:4" x14ac:dyDescent="0.25">
      <c r="A21" s="2" t="s">
        <v>5</v>
      </c>
      <c r="B21" s="5">
        <v>5</v>
      </c>
      <c r="C21" s="5">
        <v>80</v>
      </c>
      <c r="D21" s="2">
        <f t="shared" si="0"/>
        <v>400</v>
      </c>
    </row>
    <row r="22" spans="1:4" x14ac:dyDescent="0.25">
      <c r="A22" s="2" t="s">
        <v>6</v>
      </c>
      <c r="B22" s="5">
        <v>2</v>
      </c>
      <c r="C22" s="5">
        <v>40</v>
      </c>
      <c r="D22" s="2">
        <f t="shared" si="0"/>
        <v>80</v>
      </c>
    </row>
    <row r="23" spans="1:4" x14ac:dyDescent="0.25">
      <c r="A23" s="2" t="s">
        <v>11</v>
      </c>
      <c r="B23" s="3">
        <f>SUM(B16:B22)</f>
        <v>23</v>
      </c>
      <c r="C23" s="3">
        <f>SUM(C16:C22)</f>
        <v>410</v>
      </c>
      <c r="D23" s="4">
        <f>SUM(D16:D22)</f>
        <v>1598</v>
      </c>
    </row>
    <row r="27" spans="1:4" x14ac:dyDescent="0.25">
      <c r="A27" t="s">
        <v>12</v>
      </c>
    </row>
    <row r="29" spans="1:4" x14ac:dyDescent="0.25">
      <c r="A29" s="3" t="s">
        <v>15</v>
      </c>
      <c r="B29" s="3" t="s">
        <v>13</v>
      </c>
      <c r="C29" s="3" t="s">
        <v>14</v>
      </c>
    </row>
    <row r="30" spans="1:4" x14ac:dyDescent="0.25">
      <c r="A30" s="2" t="s">
        <v>0</v>
      </c>
      <c r="B30" s="5">
        <f>B16^2</f>
        <v>4</v>
      </c>
      <c r="C30" s="5">
        <f>C16^2</f>
        <v>2025</v>
      </c>
    </row>
    <row r="31" spans="1:4" x14ac:dyDescent="0.25">
      <c r="A31" s="2" t="s">
        <v>1</v>
      </c>
      <c r="B31" s="5">
        <f t="shared" ref="B31:C36" si="1">B17^2</f>
        <v>16</v>
      </c>
      <c r="C31" s="5">
        <f t="shared" si="1"/>
        <v>4624</v>
      </c>
    </row>
    <row r="32" spans="1:4" x14ac:dyDescent="0.25">
      <c r="A32" s="2" t="s">
        <v>2</v>
      </c>
      <c r="B32" s="5">
        <f t="shared" si="1"/>
        <v>1</v>
      </c>
      <c r="C32" s="5">
        <f t="shared" si="1"/>
        <v>900</v>
      </c>
    </row>
    <row r="33" spans="1:3" x14ac:dyDescent="0.25">
      <c r="A33" s="2" t="s">
        <v>3</v>
      </c>
      <c r="B33" s="5">
        <f t="shared" si="1"/>
        <v>36</v>
      </c>
      <c r="C33" s="5">
        <f t="shared" si="1"/>
        <v>9025</v>
      </c>
    </row>
    <row r="34" spans="1:3" x14ac:dyDescent="0.25">
      <c r="A34" s="2" t="s">
        <v>4</v>
      </c>
      <c r="B34" s="5">
        <f t="shared" si="1"/>
        <v>9</v>
      </c>
      <c r="C34" s="5">
        <f t="shared" si="1"/>
        <v>2704</v>
      </c>
    </row>
    <row r="35" spans="1:3" x14ac:dyDescent="0.25">
      <c r="A35" s="2" t="s">
        <v>5</v>
      </c>
      <c r="B35" s="5">
        <f t="shared" si="1"/>
        <v>25</v>
      </c>
      <c r="C35" s="5">
        <f t="shared" si="1"/>
        <v>6400</v>
      </c>
    </row>
    <row r="36" spans="1:3" x14ac:dyDescent="0.25">
      <c r="A36" s="2" t="s">
        <v>6</v>
      </c>
      <c r="B36" s="5">
        <f t="shared" si="1"/>
        <v>4</v>
      </c>
      <c r="C36" s="5">
        <f t="shared" si="1"/>
        <v>1600</v>
      </c>
    </row>
    <row r="37" spans="1:3" x14ac:dyDescent="0.25">
      <c r="A37" s="2" t="s">
        <v>11</v>
      </c>
      <c r="B37" s="3">
        <f>SUM(B30:B36)</f>
        <v>95</v>
      </c>
      <c r="C37" s="3">
        <f>SUM(C30:C36)</f>
        <v>27278</v>
      </c>
    </row>
    <row r="39" spans="1:3" x14ac:dyDescent="0.25">
      <c r="A39" t="s">
        <v>18</v>
      </c>
    </row>
    <row r="41" spans="1:3" x14ac:dyDescent="0.25">
      <c r="A41" t="s">
        <v>34</v>
      </c>
      <c r="B41" s="7" t="s">
        <v>35</v>
      </c>
      <c r="C41">
        <f>(B12*D23)-(B23*C23)</f>
        <v>1756</v>
      </c>
    </row>
    <row r="42" spans="1:3" x14ac:dyDescent="0.25">
      <c r="B42" t="s">
        <v>36</v>
      </c>
      <c r="C42">
        <f>SQRT((B12*B37 - B23^2) * (B12*C37 - C23^2))</f>
        <v>1762.6843166035148</v>
      </c>
    </row>
    <row r="43" spans="1:3" x14ac:dyDescent="0.25">
      <c r="B43" s="6" t="s">
        <v>37</v>
      </c>
      <c r="C43" s="8">
        <f>C41/C42</f>
        <v>0.99620787650939402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68954-B62A-41E9-8F06-B43728C78C84}">
  <dimension ref="A1:E59"/>
  <sheetViews>
    <sheetView tabSelected="1" workbookViewId="0">
      <selection activeCell="E15" sqref="E15"/>
    </sheetView>
  </sheetViews>
  <sheetFormatPr baseColWidth="10" defaultRowHeight="15" x14ac:dyDescent="0.25"/>
  <cols>
    <col min="1" max="1" width="16.28515625" bestFit="1" customWidth="1"/>
    <col min="2" max="2" width="18.28515625" customWidth="1"/>
    <col min="3" max="3" width="13.28515625" bestFit="1" customWidth="1"/>
  </cols>
  <sheetData>
    <row r="1" spans="1:5" x14ac:dyDescent="0.25">
      <c r="A1" s="3" t="s">
        <v>19</v>
      </c>
    </row>
    <row r="2" spans="1:5" x14ac:dyDescent="0.25">
      <c r="A2" s="2">
        <v>45</v>
      </c>
    </row>
    <row r="3" spans="1:5" x14ac:dyDescent="0.25">
      <c r="A3" s="2">
        <v>47</v>
      </c>
    </row>
    <row r="4" spans="1:5" x14ac:dyDescent="0.25">
      <c r="A4" s="2">
        <v>48</v>
      </c>
    </row>
    <row r="5" spans="1:5" x14ac:dyDescent="0.25">
      <c r="A5" s="2">
        <v>50</v>
      </c>
    </row>
    <row r="6" spans="1:5" x14ac:dyDescent="0.25">
      <c r="A6" s="2">
        <v>52</v>
      </c>
    </row>
    <row r="7" spans="1:5" x14ac:dyDescent="0.25">
      <c r="A7" s="2">
        <v>53</v>
      </c>
    </row>
    <row r="8" spans="1:5" x14ac:dyDescent="0.25">
      <c r="A8" s="2">
        <v>55</v>
      </c>
    </row>
    <row r="9" spans="1:5" x14ac:dyDescent="0.25">
      <c r="A9" s="2">
        <v>58</v>
      </c>
    </row>
    <row r="10" spans="1:5" x14ac:dyDescent="0.25">
      <c r="A10" s="2">
        <v>60</v>
      </c>
    </row>
    <row r="11" spans="1:5" x14ac:dyDescent="0.25">
      <c r="A11" s="2">
        <v>220</v>
      </c>
    </row>
    <row r="13" spans="1:5" x14ac:dyDescent="0.25">
      <c r="A13" s="4" t="s">
        <v>38</v>
      </c>
      <c r="B13" s="2">
        <f>MEDIAN(A2:A11)</f>
        <v>52.5</v>
      </c>
    </row>
    <row r="14" spans="1:5" x14ac:dyDescent="0.25">
      <c r="A14" s="4" t="s">
        <v>20</v>
      </c>
      <c r="B14" s="9">
        <f>_xlfn.PERCENTILE.EXC(A2:A11,0.25)</f>
        <v>47.75</v>
      </c>
      <c r="C14" t="s">
        <v>21</v>
      </c>
      <c r="E14" t="s">
        <v>22</v>
      </c>
    </row>
    <row r="15" spans="1:5" x14ac:dyDescent="0.25">
      <c r="A15" s="4" t="s">
        <v>23</v>
      </c>
      <c r="B15" s="10">
        <f>_xlfn.PERCENTILE.EXC(A2:A11,0.75)</f>
        <v>58.5</v>
      </c>
      <c r="C15" t="s">
        <v>24</v>
      </c>
      <c r="E15" t="s">
        <v>25</v>
      </c>
    </row>
    <row r="18" spans="1:3" x14ac:dyDescent="0.25">
      <c r="A18" s="6" t="s">
        <v>26</v>
      </c>
    </row>
    <row r="19" spans="1:3" x14ac:dyDescent="0.25">
      <c r="A19" t="s">
        <v>27</v>
      </c>
    </row>
    <row r="20" spans="1:3" x14ac:dyDescent="0.25">
      <c r="A20" t="s">
        <v>28</v>
      </c>
      <c r="B20">
        <f>(1*(10+1))/4</f>
        <v>2.75</v>
      </c>
    </row>
    <row r="21" spans="1:3" x14ac:dyDescent="0.25">
      <c r="A21" t="s">
        <v>29</v>
      </c>
      <c r="B21">
        <f>(3*(10+1))/4</f>
        <v>8.25</v>
      </c>
    </row>
    <row r="23" spans="1:3" x14ac:dyDescent="0.25">
      <c r="A23" s="2" t="s">
        <v>20</v>
      </c>
      <c r="B23" s="2" t="s">
        <v>40</v>
      </c>
      <c r="C23" s="2">
        <f>47+0.75*(48-47)</f>
        <v>47.75</v>
      </c>
    </row>
    <row r="24" spans="1:3" x14ac:dyDescent="0.25">
      <c r="A24" s="2" t="s">
        <v>23</v>
      </c>
      <c r="B24" s="2" t="s">
        <v>41</v>
      </c>
      <c r="C24" s="2">
        <f>58+0.25*(60-58)</f>
        <v>58.5</v>
      </c>
    </row>
    <row r="25" spans="1:3" x14ac:dyDescent="0.25">
      <c r="A25" s="2" t="s">
        <v>39</v>
      </c>
      <c r="B25" s="2" t="s">
        <v>42</v>
      </c>
      <c r="C25" s="2">
        <f>C24-C23</f>
        <v>10.75</v>
      </c>
    </row>
    <row r="28" spans="1:3" x14ac:dyDescent="0.25">
      <c r="A28" t="s">
        <v>30</v>
      </c>
      <c r="B28" t="s">
        <v>31</v>
      </c>
      <c r="C28" s="14">
        <f>C23-(1.5*C25)</f>
        <v>31.625</v>
      </c>
    </row>
    <row r="31" spans="1:3" x14ac:dyDescent="0.25">
      <c r="A31" t="s">
        <v>32</v>
      </c>
      <c r="B31" t="s">
        <v>33</v>
      </c>
      <c r="C31">
        <f>58+(1.5*C25)</f>
        <v>74.125</v>
      </c>
    </row>
    <row r="37" spans="1:3" x14ac:dyDescent="0.25">
      <c r="A37" s="11"/>
      <c r="B37" s="11"/>
      <c r="C37" s="11"/>
    </row>
    <row r="38" spans="1:3" x14ac:dyDescent="0.25">
      <c r="A38" s="11"/>
      <c r="B38" s="11"/>
      <c r="C38" s="11"/>
    </row>
    <row r="39" spans="1:3" x14ac:dyDescent="0.25">
      <c r="A39" s="11"/>
      <c r="B39" s="11"/>
      <c r="C39" s="11"/>
    </row>
    <row r="40" spans="1:3" x14ac:dyDescent="0.25">
      <c r="A40" s="12"/>
      <c r="B40" s="12"/>
      <c r="C40" s="11"/>
    </row>
    <row r="41" spans="1:3" x14ac:dyDescent="0.25">
      <c r="A41" s="13"/>
      <c r="B41" s="13"/>
      <c r="C41" s="11"/>
    </row>
    <row r="42" spans="1:3" x14ac:dyDescent="0.25">
      <c r="A42" s="13"/>
      <c r="B42" s="13"/>
      <c r="C42" s="11"/>
    </row>
    <row r="43" spans="1:3" x14ac:dyDescent="0.25">
      <c r="A43" s="13"/>
      <c r="B43" s="13"/>
      <c r="C43" s="11"/>
    </row>
    <row r="44" spans="1:3" x14ac:dyDescent="0.25">
      <c r="A44" s="13"/>
      <c r="B44" s="13"/>
      <c r="C44" s="11"/>
    </row>
    <row r="45" spans="1:3" x14ac:dyDescent="0.25">
      <c r="A45" s="13"/>
      <c r="B45" s="13"/>
      <c r="C45" s="11"/>
    </row>
    <row r="46" spans="1:3" x14ac:dyDescent="0.25">
      <c r="A46" s="13"/>
      <c r="B46" s="13"/>
      <c r="C46" s="11"/>
    </row>
    <row r="47" spans="1:3" x14ac:dyDescent="0.25">
      <c r="A47" s="13"/>
      <c r="B47" s="13"/>
      <c r="C47" s="11"/>
    </row>
    <row r="48" spans="1:3" x14ac:dyDescent="0.25">
      <c r="A48" s="13"/>
      <c r="B48" s="13"/>
      <c r="C48" s="11"/>
    </row>
    <row r="49" spans="1:3" x14ac:dyDescent="0.25">
      <c r="A49" s="13"/>
      <c r="B49" s="13"/>
      <c r="C49" s="11"/>
    </row>
    <row r="50" spans="1:3" x14ac:dyDescent="0.25">
      <c r="A50" s="13"/>
      <c r="B50" s="13"/>
      <c r="C50" s="11"/>
    </row>
    <row r="51" spans="1:3" x14ac:dyDescent="0.25">
      <c r="A51" s="13"/>
      <c r="B51" s="13"/>
      <c r="C51" s="11"/>
    </row>
    <row r="52" spans="1:3" x14ac:dyDescent="0.25">
      <c r="A52" s="13"/>
      <c r="B52" s="13"/>
      <c r="C52" s="11"/>
    </row>
    <row r="53" spans="1:3" x14ac:dyDescent="0.25">
      <c r="A53" s="13"/>
      <c r="B53" s="13"/>
      <c r="C53" s="11"/>
    </row>
    <row r="54" spans="1:3" x14ac:dyDescent="0.25">
      <c r="A54" s="13"/>
      <c r="B54" s="13"/>
      <c r="C54" s="11"/>
    </row>
    <row r="55" spans="1:3" x14ac:dyDescent="0.25">
      <c r="A55" s="13"/>
      <c r="B55" s="13"/>
      <c r="C55" s="11"/>
    </row>
    <row r="56" spans="1:3" x14ac:dyDescent="0.25">
      <c r="A56" s="11"/>
      <c r="B56" s="11"/>
      <c r="C56" s="11"/>
    </row>
    <row r="57" spans="1:3" x14ac:dyDescent="0.25">
      <c r="A57" s="11"/>
      <c r="B57" s="11"/>
      <c r="C57" s="11"/>
    </row>
    <row r="58" spans="1:3" x14ac:dyDescent="0.25">
      <c r="A58" s="11"/>
      <c r="B58" s="11"/>
      <c r="C58" s="11"/>
    </row>
    <row r="59" spans="1:3" x14ac:dyDescent="0.25">
      <c r="A59" s="11"/>
      <c r="B59" s="11"/>
      <c r="C59" s="11"/>
    </row>
  </sheetData>
  <sortState xmlns:xlrd2="http://schemas.microsoft.com/office/spreadsheetml/2017/richdata2" ref="A41:B55">
    <sortCondition ref="B41:B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Correlación Pearson</vt:lpstr>
      <vt:lpstr>RIC, limites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Susan Rojas Saborio</dc:creator>
  <cp:lastModifiedBy>Katherine Susan Rojas Saborio</cp:lastModifiedBy>
  <dcterms:created xsi:type="dcterms:W3CDTF">2026-08-12T14:18:54Z</dcterms:created>
  <dcterms:modified xsi:type="dcterms:W3CDTF">2026-08-12T23:14:28Z</dcterms:modified>
</cp:coreProperties>
</file>