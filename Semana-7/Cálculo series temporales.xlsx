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the\Documents\CienciaDeDatos\MÓDULO 3\Semana 7\"/>
    </mc:Choice>
  </mc:AlternateContent>
  <xr:revisionPtr revIDLastSave="0" documentId="13_ncr:1_{9F2A15BF-A207-4A86-B47C-4CD1ACF6D4D4}" xr6:coauthVersionLast="47" xr6:coauthVersionMax="47" xr10:uidLastSave="{00000000-0000-0000-0000-000000000000}"/>
  <bookViews>
    <workbookView xWindow="-120" yWindow="-120" windowWidth="29040" windowHeight="15720" firstSheet="1" activeTab="1" xr2:uid="{4E95BE3E-53B2-407B-94EE-CDE30B2F674A}"/>
  </bookViews>
  <sheets>
    <sheet name="Hoja1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3" l="1"/>
  <c r="B16" i="3"/>
  <c r="B15" i="3"/>
  <c r="B11" i="3"/>
  <c r="B12" i="3"/>
  <c r="B13" i="3"/>
  <c r="B10" i="3"/>
  <c r="C8" i="3"/>
  <c r="D8" i="3"/>
  <c r="B8" i="3"/>
  <c r="C7" i="3"/>
  <c r="D7" i="3"/>
  <c r="B7" i="3"/>
  <c r="D59" i="1"/>
  <c r="C59" i="1"/>
  <c r="D58" i="1"/>
  <c r="C58" i="1"/>
  <c r="C57" i="1"/>
  <c r="F46" i="1"/>
  <c r="F47" i="1"/>
  <c r="F48" i="1"/>
  <c r="F49" i="1"/>
  <c r="F50" i="1"/>
  <c r="F51" i="1"/>
  <c r="F52" i="1"/>
  <c r="F53" i="1"/>
  <c r="F54" i="1"/>
  <c r="F45" i="1"/>
  <c r="E46" i="1"/>
  <c r="E47" i="1"/>
  <c r="E48" i="1"/>
  <c r="E49" i="1"/>
  <c r="E50" i="1"/>
  <c r="E51" i="1"/>
  <c r="E52" i="1"/>
  <c r="E53" i="1"/>
  <c r="E54" i="1"/>
  <c r="E45" i="1"/>
  <c r="D37" i="1"/>
  <c r="B36" i="1"/>
  <c r="B35" i="1"/>
  <c r="E22" i="1"/>
  <c r="E21" i="1"/>
  <c r="B19" i="1"/>
  <c r="E57" i="1" l="1"/>
</calcChain>
</file>

<file path=xl/sharedStrings.xml><?xml version="1.0" encoding="utf-8"?>
<sst xmlns="http://schemas.openxmlformats.org/spreadsheetml/2006/main" count="68" uniqueCount="50">
  <si>
    <t>SERIES TEMPORALES</t>
  </si>
  <si>
    <t>Mes</t>
  </si>
  <si>
    <t>Ventas</t>
  </si>
  <si>
    <t>Variación</t>
  </si>
  <si>
    <t>3000-1950/1950</t>
  </si>
  <si>
    <t>%</t>
  </si>
  <si>
    <t>900+1150+1600/3</t>
  </si>
  <si>
    <t>Medida movil por 3 meses</t>
  </si>
  <si>
    <t>1150+1600+1950/3</t>
  </si>
  <si>
    <t xml:space="preserve">La serie presenta una tendencia a una creciente sostenida. </t>
  </si>
  <si>
    <t>Noviembre y diciembre tiene saltos pronunciados por tipos de venta</t>
  </si>
  <si>
    <t>Enero</t>
  </si>
  <si>
    <t>Febrero</t>
  </si>
  <si>
    <t>Marzo</t>
  </si>
  <si>
    <t>Abril</t>
  </si>
  <si>
    <t>Mayo</t>
  </si>
  <si>
    <t>Junio</t>
  </si>
  <si>
    <t>Media</t>
  </si>
  <si>
    <t>Aumento de ventas de enero a junio</t>
  </si>
  <si>
    <t>Año 1</t>
  </si>
  <si>
    <t>Año 2</t>
  </si>
  <si>
    <t>Julio</t>
  </si>
  <si>
    <t>Agosto</t>
  </si>
  <si>
    <t>Septiembre</t>
  </si>
  <si>
    <t>Octubre</t>
  </si>
  <si>
    <t>Noviembre</t>
  </si>
  <si>
    <t>Diciembre</t>
  </si>
  <si>
    <t>MM Año 1</t>
  </si>
  <si>
    <t>MM Año 2</t>
  </si>
  <si>
    <t xml:space="preserve">Variación  </t>
  </si>
  <si>
    <t>Trimestre1</t>
  </si>
  <si>
    <t>Trimestre2</t>
  </si>
  <si>
    <t>Trimestre3</t>
  </si>
  <si>
    <t>Trimestre4</t>
  </si>
  <si>
    <t>Minimo</t>
  </si>
  <si>
    <t>Maximo</t>
  </si>
  <si>
    <t>TRIMESTRE</t>
  </si>
  <si>
    <t>AÑO1</t>
  </si>
  <si>
    <t>AÑO2</t>
  </si>
  <si>
    <t>AÑO3</t>
  </si>
  <si>
    <t>Q1</t>
  </si>
  <si>
    <t>Q2</t>
  </si>
  <si>
    <t>Q3</t>
  </si>
  <si>
    <t>Q4</t>
  </si>
  <si>
    <t>Crecimiento porcentual (Q3-Q1/Q1)*100</t>
  </si>
  <si>
    <t xml:space="preserve">Q1 </t>
  </si>
  <si>
    <t>Promedio Año 1</t>
  </si>
  <si>
    <t>Promedio Año 2</t>
  </si>
  <si>
    <t>Promedio Año 3</t>
  </si>
  <si>
    <t>La empresa tiene eficiencia en su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</si>
</sst>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4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6" xfId="0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2" fontId="0" fillId="3" borderId="5" xfId="0" applyNumberFormat="1" applyFill="1" applyBorder="1"/>
    <xf numFmtId="2" fontId="0" fillId="3" borderId="7" xfId="0" applyNumberFormat="1" applyFill="1" applyBorder="1"/>
    <xf numFmtId="2" fontId="0" fillId="0" borderId="5" xfId="0" applyNumberFormat="1" applyBorder="1"/>
    <xf numFmtId="2" fontId="0" fillId="0" borderId="7" xfId="0" applyNumberFormat="1" applyBorder="1"/>
    <xf numFmtId="2" fontId="2" fillId="3" borderId="5" xfId="0" applyNumberFormat="1" applyFont="1" applyFill="1" applyBorder="1"/>
    <xf numFmtId="2" fontId="2" fillId="3" borderId="7" xfId="0" applyNumberFormat="1" applyFont="1" applyFill="1" applyBorder="1"/>
    <xf numFmtId="2" fontId="2" fillId="0" borderId="5" xfId="0" applyNumberFormat="1" applyFont="1" applyBorder="1"/>
    <xf numFmtId="2" fontId="2" fillId="0" borderId="7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DE45-D655-45D5-AC7F-F1D18DE7A256}">
  <dimension ref="A2:F59"/>
  <sheetViews>
    <sheetView topLeftCell="A46" workbookViewId="0">
      <selection activeCell="H55" sqref="H55"/>
    </sheetView>
  </sheetViews>
  <sheetFormatPr baseColWidth="10" defaultRowHeight="15" x14ac:dyDescent="0.25"/>
  <cols>
    <col min="3" max="3" width="16.85546875" bestFit="1" customWidth="1"/>
    <col min="4" max="5" width="11.5703125" customWidth="1"/>
    <col min="9" max="9" width="4.5703125" bestFit="1" customWidth="1"/>
    <col min="10" max="10" width="10.140625" bestFit="1" customWidth="1"/>
    <col min="11" max="11" width="14" bestFit="1" customWidth="1"/>
    <col min="12" max="21" width="5" bestFit="1" customWidth="1"/>
    <col min="22" max="22" width="12.5703125" bestFit="1" customWidth="1"/>
    <col min="23" max="23" width="9.85546875" bestFit="1" customWidth="1"/>
    <col min="24" max="24" width="6.85546875" bestFit="1" customWidth="1"/>
    <col min="25" max="25" width="9.85546875" bestFit="1" customWidth="1"/>
    <col min="26" max="26" width="6.85546875" bestFit="1" customWidth="1"/>
    <col min="27" max="27" width="9.85546875" bestFit="1" customWidth="1"/>
    <col min="28" max="28" width="6.85546875" bestFit="1" customWidth="1"/>
    <col min="29" max="29" width="9.85546875" bestFit="1" customWidth="1"/>
    <col min="30" max="30" width="6.85546875" bestFit="1" customWidth="1"/>
    <col min="31" max="31" width="9.85546875" bestFit="1" customWidth="1"/>
    <col min="32" max="32" width="6.85546875" bestFit="1" customWidth="1"/>
    <col min="33" max="33" width="9.85546875" bestFit="1" customWidth="1"/>
    <col min="34" max="34" width="12.5703125" bestFit="1" customWidth="1"/>
  </cols>
  <sheetData>
    <row r="2" spans="1:5" x14ac:dyDescent="0.25">
      <c r="A2" s="1" t="s">
        <v>0</v>
      </c>
    </row>
    <row r="4" spans="1:5" x14ac:dyDescent="0.25">
      <c r="A4" s="3" t="s">
        <v>1</v>
      </c>
      <c r="B4" s="3" t="s">
        <v>2</v>
      </c>
      <c r="D4" s="3" t="s">
        <v>1</v>
      </c>
      <c r="E4" s="3" t="s">
        <v>2</v>
      </c>
    </row>
    <row r="5" spans="1:5" x14ac:dyDescent="0.25">
      <c r="A5" s="2">
        <v>1</v>
      </c>
      <c r="B5" s="2">
        <v>500</v>
      </c>
      <c r="D5" s="2">
        <v>13</v>
      </c>
      <c r="E5" s="2">
        <v>1450</v>
      </c>
    </row>
    <row r="6" spans="1:5" x14ac:dyDescent="0.25">
      <c r="A6" s="2">
        <v>4</v>
      </c>
      <c r="B6" s="2">
        <v>680</v>
      </c>
      <c r="D6" s="2">
        <v>16</v>
      </c>
      <c r="E6" s="2">
        <v>1600</v>
      </c>
    </row>
    <row r="7" spans="1:5" x14ac:dyDescent="0.25">
      <c r="A7" s="2">
        <v>7</v>
      </c>
      <c r="B7" s="2">
        <v>900</v>
      </c>
      <c r="D7" s="2">
        <v>19</v>
      </c>
      <c r="E7" s="2">
        <v>1850</v>
      </c>
    </row>
    <row r="8" spans="1:5" x14ac:dyDescent="0.25">
      <c r="A8" s="2">
        <v>10</v>
      </c>
      <c r="B8" s="2">
        <v>1150</v>
      </c>
      <c r="D8" s="2">
        <v>22</v>
      </c>
      <c r="E8" s="2">
        <v>2050</v>
      </c>
    </row>
    <row r="9" spans="1:5" x14ac:dyDescent="0.25">
      <c r="A9" s="2">
        <v>11</v>
      </c>
      <c r="B9" s="2">
        <v>1600</v>
      </c>
      <c r="D9" s="2">
        <v>23</v>
      </c>
      <c r="E9" s="2">
        <v>2700</v>
      </c>
    </row>
    <row r="10" spans="1:5" x14ac:dyDescent="0.25">
      <c r="A10" s="2">
        <v>12</v>
      </c>
      <c r="B10" s="2">
        <v>1950</v>
      </c>
      <c r="D10" s="2">
        <v>24</v>
      </c>
      <c r="E10" s="2">
        <v>3300</v>
      </c>
    </row>
    <row r="18" spans="1:5" x14ac:dyDescent="0.25">
      <c r="A18" t="s">
        <v>3</v>
      </c>
      <c r="B18" t="s">
        <v>4</v>
      </c>
    </row>
    <row r="19" spans="1:5" x14ac:dyDescent="0.25">
      <c r="B19" s="5">
        <f>((E10-B10)/B10)*100</f>
        <v>69.230769230769226</v>
      </c>
      <c r="C19" t="s">
        <v>5</v>
      </c>
    </row>
    <row r="21" spans="1:5" x14ac:dyDescent="0.25">
      <c r="A21" t="s">
        <v>7</v>
      </c>
      <c r="C21" t="s">
        <v>6</v>
      </c>
      <c r="E21">
        <f>(B7+B8+B9)/3</f>
        <v>1216.6666666666667</v>
      </c>
    </row>
    <row r="22" spans="1:5" x14ac:dyDescent="0.25">
      <c r="A22" t="s">
        <v>7</v>
      </c>
      <c r="C22" t="s">
        <v>8</v>
      </c>
      <c r="E22">
        <f>(B8+B9+B10)/3</f>
        <v>1566.6666666666667</v>
      </c>
    </row>
    <row r="23" spans="1:5" x14ac:dyDescent="0.25">
      <c r="A23" t="s">
        <v>9</v>
      </c>
    </row>
    <row r="24" spans="1:5" x14ac:dyDescent="0.25">
      <c r="A24" t="s">
        <v>10</v>
      </c>
    </row>
    <row r="27" spans="1:5" x14ac:dyDescent="0.25">
      <c r="A27" t="s">
        <v>1</v>
      </c>
      <c r="B27" t="s">
        <v>2</v>
      </c>
    </row>
    <row r="28" spans="1:5" x14ac:dyDescent="0.25">
      <c r="A28" t="s">
        <v>11</v>
      </c>
      <c r="B28">
        <v>100</v>
      </c>
    </row>
    <row r="29" spans="1:5" x14ac:dyDescent="0.25">
      <c r="A29" t="s">
        <v>12</v>
      </c>
      <c r="B29">
        <v>120</v>
      </c>
    </row>
    <row r="30" spans="1:5" x14ac:dyDescent="0.25">
      <c r="A30" t="s">
        <v>13</v>
      </c>
      <c r="B30">
        <v>130</v>
      </c>
    </row>
    <row r="31" spans="1:5" x14ac:dyDescent="0.25">
      <c r="A31" t="s">
        <v>14</v>
      </c>
      <c r="B31">
        <v>150</v>
      </c>
    </row>
    <row r="32" spans="1:5" x14ac:dyDescent="0.25">
      <c r="A32" t="s">
        <v>15</v>
      </c>
      <c r="B32">
        <v>170</v>
      </c>
    </row>
    <row r="33" spans="1:6" x14ac:dyDescent="0.25">
      <c r="A33" t="s">
        <v>16</v>
      </c>
      <c r="B33">
        <v>180</v>
      </c>
    </row>
    <row r="35" spans="1:6" x14ac:dyDescent="0.25">
      <c r="A35" t="s">
        <v>3</v>
      </c>
      <c r="B35">
        <f>((B33-B28)/B28)*100</f>
        <v>80</v>
      </c>
    </row>
    <row r="36" spans="1:6" x14ac:dyDescent="0.25">
      <c r="A36" t="s">
        <v>17</v>
      </c>
      <c r="B36">
        <f>AVERAGE(B28:B33)</f>
        <v>141.66666666666666</v>
      </c>
    </row>
    <row r="37" spans="1:6" x14ac:dyDescent="0.25">
      <c r="A37" t="s">
        <v>18</v>
      </c>
      <c r="D37">
        <f>B33-B28</f>
        <v>80</v>
      </c>
    </row>
    <row r="42" spans="1:6" x14ac:dyDescent="0.25">
      <c r="B42" s="8" t="s">
        <v>1</v>
      </c>
      <c r="C42" s="9" t="s">
        <v>19</v>
      </c>
      <c r="D42" s="9" t="s">
        <v>20</v>
      </c>
      <c r="E42" s="9" t="s">
        <v>27</v>
      </c>
      <c r="F42" s="10" t="s">
        <v>28</v>
      </c>
    </row>
    <row r="43" spans="1:6" x14ac:dyDescent="0.25">
      <c r="B43" s="11" t="s">
        <v>11</v>
      </c>
      <c r="C43" s="12">
        <v>800</v>
      </c>
      <c r="D43" s="12">
        <v>1000</v>
      </c>
      <c r="E43" s="12"/>
      <c r="F43" s="13"/>
    </row>
    <row r="44" spans="1:6" x14ac:dyDescent="0.25">
      <c r="B44" s="14" t="s">
        <v>12</v>
      </c>
      <c r="C44" s="15">
        <v>850</v>
      </c>
      <c r="D44" s="15">
        <v>1050</v>
      </c>
      <c r="E44" s="15"/>
      <c r="F44" s="16"/>
    </row>
    <row r="45" spans="1:6" x14ac:dyDescent="0.25">
      <c r="A45" t="s">
        <v>30</v>
      </c>
      <c r="B45" s="11" t="s">
        <v>13</v>
      </c>
      <c r="C45" s="12">
        <v>900</v>
      </c>
      <c r="D45" s="12">
        <v>1100</v>
      </c>
      <c r="E45" s="21">
        <f t="shared" ref="E45:E54" si="0">(C43+C44+C45)/3</f>
        <v>850</v>
      </c>
      <c r="F45" s="22">
        <f t="shared" ref="F45:F54" si="1">(D43+D44+D45)/3</f>
        <v>1050</v>
      </c>
    </row>
    <row r="46" spans="1:6" x14ac:dyDescent="0.25">
      <c r="B46" s="14" t="s">
        <v>14</v>
      </c>
      <c r="C46" s="15">
        <v>950</v>
      </c>
      <c r="D46" s="15">
        <v>1150</v>
      </c>
      <c r="E46" s="19">
        <f t="shared" si="0"/>
        <v>900</v>
      </c>
      <c r="F46" s="20">
        <f t="shared" si="1"/>
        <v>1100</v>
      </c>
    </row>
    <row r="47" spans="1:6" x14ac:dyDescent="0.25">
      <c r="B47" s="11" t="s">
        <v>15</v>
      </c>
      <c r="C47" s="12">
        <v>1000</v>
      </c>
      <c r="D47" s="12">
        <v>1200</v>
      </c>
      <c r="E47" s="17">
        <f t="shared" si="0"/>
        <v>950</v>
      </c>
      <c r="F47" s="18">
        <f t="shared" si="1"/>
        <v>1150</v>
      </c>
    </row>
    <row r="48" spans="1:6" x14ac:dyDescent="0.25">
      <c r="A48" t="s">
        <v>31</v>
      </c>
      <c r="B48" s="14" t="s">
        <v>16</v>
      </c>
      <c r="C48" s="15">
        <v>1050</v>
      </c>
      <c r="D48" s="15">
        <v>1250</v>
      </c>
      <c r="E48" s="23">
        <f t="shared" si="0"/>
        <v>1000</v>
      </c>
      <c r="F48" s="24">
        <f t="shared" si="1"/>
        <v>1200</v>
      </c>
    </row>
    <row r="49" spans="1:6" x14ac:dyDescent="0.25">
      <c r="B49" s="11" t="s">
        <v>21</v>
      </c>
      <c r="C49" s="12">
        <v>1100</v>
      </c>
      <c r="D49" s="12">
        <v>1300</v>
      </c>
      <c r="E49" s="17">
        <f t="shared" si="0"/>
        <v>1050</v>
      </c>
      <c r="F49" s="18">
        <f t="shared" si="1"/>
        <v>1250</v>
      </c>
    </row>
    <row r="50" spans="1:6" x14ac:dyDescent="0.25">
      <c r="B50" s="14" t="s">
        <v>22</v>
      </c>
      <c r="C50" s="15">
        <v>1150</v>
      </c>
      <c r="D50" s="15">
        <v>1350</v>
      </c>
      <c r="E50" s="19">
        <f t="shared" si="0"/>
        <v>1100</v>
      </c>
      <c r="F50" s="20">
        <f t="shared" si="1"/>
        <v>1300</v>
      </c>
    </row>
    <row r="51" spans="1:6" x14ac:dyDescent="0.25">
      <c r="A51" t="s">
        <v>32</v>
      </c>
      <c r="B51" s="11" t="s">
        <v>23</v>
      </c>
      <c r="C51" s="12">
        <v>1200</v>
      </c>
      <c r="D51" s="12">
        <v>1400</v>
      </c>
      <c r="E51" s="21">
        <f t="shared" si="0"/>
        <v>1150</v>
      </c>
      <c r="F51" s="22">
        <f t="shared" si="1"/>
        <v>1350</v>
      </c>
    </row>
    <row r="52" spans="1:6" x14ac:dyDescent="0.25">
      <c r="B52" s="14" t="s">
        <v>24</v>
      </c>
      <c r="C52" s="15">
        <v>1300</v>
      </c>
      <c r="D52" s="15">
        <v>1550</v>
      </c>
      <c r="E52" s="19">
        <f t="shared" si="0"/>
        <v>1216.6666666666667</v>
      </c>
      <c r="F52" s="20">
        <f t="shared" si="1"/>
        <v>1433.3333333333333</v>
      </c>
    </row>
    <row r="53" spans="1:6" x14ac:dyDescent="0.25">
      <c r="B53" s="11" t="s">
        <v>25</v>
      </c>
      <c r="C53" s="12">
        <v>1600</v>
      </c>
      <c r="D53" s="12">
        <v>2000</v>
      </c>
      <c r="E53" s="17">
        <f t="shared" si="0"/>
        <v>1366.6666666666667</v>
      </c>
      <c r="F53" s="18">
        <f t="shared" si="1"/>
        <v>1650</v>
      </c>
    </row>
    <row r="54" spans="1:6" x14ac:dyDescent="0.25">
      <c r="A54" t="s">
        <v>33</v>
      </c>
      <c r="B54" s="6" t="s">
        <v>26</v>
      </c>
      <c r="C54" s="7">
        <v>2000</v>
      </c>
      <c r="D54" s="7">
        <v>2600</v>
      </c>
      <c r="E54" s="25">
        <f t="shared" si="0"/>
        <v>1633.3333333333333</v>
      </c>
      <c r="F54" s="26">
        <f t="shared" si="1"/>
        <v>2050</v>
      </c>
    </row>
    <row r="56" spans="1:6" x14ac:dyDescent="0.25">
      <c r="C56" t="s">
        <v>5</v>
      </c>
    </row>
    <row r="57" spans="1:6" x14ac:dyDescent="0.25">
      <c r="A57" t="s">
        <v>29</v>
      </c>
      <c r="C57">
        <f>((D54-C54)/C54)*100</f>
        <v>30</v>
      </c>
      <c r="E57" s="4">
        <f>((F54-E54)/E54)*100</f>
        <v>25.510204081632658</v>
      </c>
    </row>
    <row r="58" spans="1:6" x14ac:dyDescent="0.25">
      <c r="A58" t="s">
        <v>34</v>
      </c>
      <c r="C58">
        <f>MIN(C43:C54)</f>
        <v>800</v>
      </c>
      <c r="D58">
        <f>MIN(D43:D54)</f>
        <v>1000</v>
      </c>
    </row>
    <row r="59" spans="1:6" x14ac:dyDescent="0.25">
      <c r="A59" t="s">
        <v>35</v>
      </c>
      <c r="C59">
        <f>MAX(C43:C54)</f>
        <v>2000</v>
      </c>
      <c r="D59">
        <f>MAX(D43:D54)</f>
        <v>2600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F170-AC87-4569-973A-443F89CD1055}">
  <dimension ref="A1:D19"/>
  <sheetViews>
    <sheetView tabSelected="1" workbookViewId="0">
      <selection activeCell="A20" sqref="A20"/>
    </sheetView>
  </sheetViews>
  <sheetFormatPr baseColWidth="10" defaultRowHeight="15" x14ac:dyDescent="0.25"/>
  <cols>
    <col min="1" max="1" width="21.85546875" bestFit="1" customWidth="1"/>
  </cols>
  <sheetData>
    <row r="1" spans="1:4" x14ac:dyDescent="0.25">
      <c r="A1" t="s">
        <v>36</v>
      </c>
      <c r="B1" t="s">
        <v>37</v>
      </c>
      <c r="C1" t="s">
        <v>38</v>
      </c>
      <c r="D1" t="s">
        <v>39</v>
      </c>
    </row>
    <row r="2" spans="1:4" x14ac:dyDescent="0.25">
      <c r="A2" t="s">
        <v>40</v>
      </c>
      <c r="B2">
        <v>2.1</v>
      </c>
      <c r="C2">
        <v>2.2999999999999998</v>
      </c>
      <c r="D2">
        <v>2.6</v>
      </c>
    </row>
    <row r="3" spans="1:4" x14ac:dyDescent="0.25">
      <c r="A3" t="s">
        <v>41</v>
      </c>
      <c r="B3">
        <v>2.4</v>
      </c>
      <c r="C3">
        <v>2.6</v>
      </c>
      <c r="D3">
        <v>2.9</v>
      </c>
    </row>
    <row r="4" spans="1:4" x14ac:dyDescent="0.25">
      <c r="A4" t="s">
        <v>42</v>
      </c>
      <c r="B4">
        <v>2.6</v>
      </c>
      <c r="C4">
        <v>2.8</v>
      </c>
      <c r="D4">
        <v>3.1</v>
      </c>
    </row>
    <row r="5" spans="1:4" x14ac:dyDescent="0.25">
      <c r="A5" t="s">
        <v>43</v>
      </c>
      <c r="B5">
        <v>3.2</v>
      </c>
      <c r="C5">
        <v>3.5</v>
      </c>
      <c r="D5">
        <v>3.9</v>
      </c>
    </row>
    <row r="7" spans="1:4" x14ac:dyDescent="0.25">
      <c r="A7" t="s">
        <v>3</v>
      </c>
      <c r="B7">
        <f>B5-B2</f>
        <v>1.1000000000000001</v>
      </c>
      <c r="C7">
        <f t="shared" ref="C7:D7" si="0">C5-C2</f>
        <v>1.2000000000000002</v>
      </c>
      <c r="D7">
        <f t="shared" si="0"/>
        <v>1.2999999999999998</v>
      </c>
    </row>
    <row r="8" spans="1:4" s="27" customFormat="1" ht="30.75" customHeight="1" x14ac:dyDescent="0.25">
      <c r="A8" s="27" t="s">
        <v>44</v>
      </c>
      <c r="B8" s="28">
        <f>((B5-B2)/B2)*100</f>
        <v>52.380952380952387</v>
      </c>
      <c r="C8" s="28">
        <f t="shared" ref="C8:D8" si="1">((C5-C2)/C2)*100</f>
        <v>52.173913043478272</v>
      </c>
      <c r="D8" s="28">
        <f t="shared" si="1"/>
        <v>49.999999999999986</v>
      </c>
    </row>
    <row r="10" spans="1:4" x14ac:dyDescent="0.25">
      <c r="A10" t="s">
        <v>45</v>
      </c>
      <c r="B10">
        <f>D2-B2</f>
        <v>0.5</v>
      </c>
    </row>
    <row r="11" spans="1:4" x14ac:dyDescent="0.25">
      <c r="A11" t="s">
        <v>41</v>
      </c>
      <c r="B11">
        <f t="shared" ref="B11:B13" si="2">D3-B3</f>
        <v>0.5</v>
      </c>
    </row>
    <row r="12" spans="1:4" x14ac:dyDescent="0.25">
      <c r="A12" t="s">
        <v>42</v>
      </c>
      <c r="B12">
        <f t="shared" si="2"/>
        <v>0.5</v>
      </c>
    </row>
    <row r="13" spans="1:4" x14ac:dyDescent="0.25">
      <c r="A13" t="s">
        <v>43</v>
      </c>
      <c r="B13">
        <f t="shared" si="2"/>
        <v>0.69999999999999973</v>
      </c>
    </row>
    <row r="15" spans="1:4" x14ac:dyDescent="0.25">
      <c r="A15" s="4" t="s">
        <v>46</v>
      </c>
      <c r="B15" s="4">
        <f>AVERAGE(B2:B5)</f>
        <v>2.5750000000000002</v>
      </c>
    </row>
    <row r="16" spans="1:4" x14ac:dyDescent="0.25">
      <c r="A16" s="4" t="s">
        <v>47</v>
      </c>
      <c r="B16" s="4">
        <f>AVERAGE(C2:C5)</f>
        <v>2.8</v>
      </c>
    </row>
    <row r="17" spans="1:2" x14ac:dyDescent="0.25">
      <c r="A17" s="4" t="s">
        <v>48</v>
      </c>
      <c r="B17" s="4">
        <f>AVERAGE(D2:D5)</f>
        <v>3.125</v>
      </c>
    </row>
    <row r="19" spans="1:2" x14ac:dyDescent="0.25">
      <c r="A19" s="4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Susan Rojas Saborio</dc:creator>
  <cp:lastModifiedBy>Katherine Susan Rojas Saborio</cp:lastModifiedBy>
  <dcterms:created xsi:type="dcterms:W3CDTF">2026-08-13T15:42:04Z</dcterms:created>
  <dcterms:modified xsi:type="dcterms:W3CDTF">2026-08-13T17:58:55Z</dcterms:modified>
</cp:coreProperties>
</file>